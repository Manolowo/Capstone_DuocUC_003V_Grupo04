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8545f0d403c5b14d/Desktop/SCRUM_FERREDASH/Sprint_4/"/>
    </mc:Choice>
  </mc:AlternateContent>
  <xr:revisionPtr revIDLastSave="110" documentId="8_{9E380433-79C8-43FE-BF03-8D96D54288D3}" xr6:coauthVersionLast="47" xr6:coauthVersionMax="47" xr10:uidLastSave="{5F9A462A-1ECE-4DD2-8081-0D8125DA4E84}"/>
  <bookViews>
    <workbookView xWindow="28680" yWindow="-120" windowWidth="29040" windowHeight="15720" xr2:uid="{00000000-000D-0000-FFFF-FFFF00000000}"/>
  </bookViews>
  <sheets>
    <sheet name="Ejemplo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YlJ5r9fFn6y0H6/LrsVlriZLkrqrDekMnOvTCZymU3Y="/>
    </ext>
  </extLst>
</workbook>
</file>

<file path=xl/calcChain.xml><?xml version="1.0" encoding="utf-8"?>
<calcChain xmlns="http://schemas.openxmlformats.org/spreadsheetml/2006/main">
  <c r="C28" i="1" l="1"/>
  <c r="D28" i="1" s="1"/>
  <c r="B28" i="1"/>
  <c r="B29" i="1" s="1"/>
  <c r="B26" i="1"/>
  <c r="C26" i="1" s="1"/>
  <c r="W24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W6" i="1"/>
  <c r="W5" i="1"/>
  <c r="D26" i="1" l="1"/>
  <c r="E26" i="1" s="1"/>
  <c r="F26" i="1" s="1"/>
  <c r="G26" i="1" s="1"/>
  <c r="H26" i="1" s="1"/>
  <c r="I26" i="1" s="1"/>
  <c r="J26" i="1" s="1"/>
  <c r="K26" i="1" s="1"/>
  <c r="L26" i="1" s="1"/>
  <c r="M26" i="1" s="1"/>
  <c r="N26" i="1" s="1"/>
  <c r="O26" i="1" s="1"/>
  <c r="P26" i="1" s="1"/>
  <c r="E28" i="1"/>
  <c r="C29" i="1"/>
  <c r="Q26" i="1" l="1"/>
  <c r="R26" i="1" s="1"/>
  <c r="S26" i="1" s="1"/>
  <c r="C27" i="1"/>
  <c r="D29" i="1"/>
  <c r="F28" i="1"/>
  <c r="E29" i="1" l="1"/>
  <c r="G28" i="1"/>
  <c r="F29" i="1" l="1"/>
  <c r="H28" i="1"/>
  <c r="I28" i="1" l="1"/>
  <c r="G29" i="1"/>
  <c r="J28" i="1" l="1"/>
  <c r="H29" i="1"/>
  <c r="K28" i="1" l="1"/>
  <c r="I29" i="1"/>
  <c r="L28" i="1" l="1"/>
  <c r="J29" i="1"/>
  <c r="K29" i="1" l="1"/>
  <c r="M28" i="1"/>
  <c r="L29" i="1" l="1"/>
  <c r="N28" i="1"/>
  <c r="M29" i="1" l="1"/>
  <c r="O28" i="1"/>
  <c r="N29" i="1" l="1"/>
  <c r="P28" i="1"/>
  <c r="O29" i="1" l="1"/>
  <c r="Q28" i="1"/>
  <c r="R28" i="1" l="1"/>
  <c r="P29" i="1"/>
  <c r="S28" i="1" l="1"/>
  <c r="Q29" i="1"/>
  <c r="T28" i="1" l="1"/>
  <c r="R29" i="1"/>
  <c r="S29" i="1" l="1"/>
  <c r="U28" i="1"/>
  <c r="W28" i="1" l="1"/>
  <c r="W26" i="1" l="1"/>
  <c r="B27" i="1"/>
  <c r="D27" i="1" l="1"/>
  <c r="E27" i="1"/>
  <c r="F27" i="1" l="1"/>
  <c r="G27" i="1" l="1"/>
  <c r="H27" i="1" l="1"/>
  <c r="I27" i="1" l="1"/>
  <c r="J27" i="1" l="1"/>
  <c r="K27" i="1" l="1"/>
  <c r="L27" i="1" l="1"/>
  <c r="M27" i="1" l="1"/>
  <c r="N27" i="1" l="1"/>
  <c r="O27" i="1" l="1"/>
  <c r="P27" i="1" l="1"/>
  <c r="Q27" i="1" l="1"/>
  <c r="T26" i="1" l="1"/>
  <c r="S27" i="1" s="1"/>
  <c r="R27" i="1"/>
</calcChain>
</file>

<file path=xl/sharedStrings.xml><?xml version="1.0" encoding="utf-8"?>
<sst xmlns="http://schemas.openxmlformats.org/spreadsheetml/2006/main" count="18" uniqueCount="18">
  <si>
    <t>Modifique la zona con color verde</t>
  </si>
  <si>
    <t xml:space="preserve">Tareas </t>
  </si>
  <si>
    <t>horas estimadas</t>
  </si>
  <si>
    <t>DIA</t>
  </si>
  <si>
    <t>Total</t>
  </si>
  <si>
    <t>Horas Reales de producto por realizar</t>
  </si>
  <si>
    <t>Horas Estimadas de producto por realizar</t>
  </si>
  <si>
    <t>Control del Sprint 4 de 16 días</t>
  </si>
  <si>
    <t>H4-T1</t>
  </si>
  <si>
    <t>H4-T2</t>
  </si>
  <si>
    <t>H4-T3</t>
  </si>
  <si>
    <t>H4-T4</t>
  </si>
  <si>
    <t>H4-T5</t>
  </si>
  <si>
    <t>H4-T6</t>
  </si>
  <si>
    <t>H4-T7</t>
  </si>
  <si>
    <t>H4-T8</t>
  </si>
  <si>
    <t>H4-T9</t>
  </si>
  <si>
    <t>H4-T10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</si>
</sst>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6"/>
      <color theme="1"/>
      <name val="Calibri"/>
    </font>
    <font>
      <sz val="11"/>
      <color theme="1"/>
      <name val="Calibri"/>
    </font>
    <font>
      <sz val="11"/>
      <name val="Calibri"/>
    </font>
    <font>
      <sz val="11"/>
      <color theme="0"/>
      <name val="Calibri"/>
    </font>
    <font>
      <sz val="8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A8D08D"/>
        <bgColor rgb="FFA8D08D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6" xfId="0" applyFont="1" applyFill="1" applyBorder="1"/>
    <xf numFmtId="0" fontId="2" fillId="3" borderId="7" xfId="0" applyFont="1" applyFill="1" applyBorder="1"/>
    <xf numFmtId="0" fontId="2" fillId="3" borderId="8" xfId="0" applyFont="1" applyFill="1" applyBorder="1" applyAlignment="1">
      <alignment horizontal="center" wrapText="1"/>
    </xf>
    <xf numFmtId="0" fontId="2" fillId="0" borderId="1" xfId="0" applyFont="1" applyBorder="1"/>
    <xf numFmtId="0" fontId="2" fillId="0" borderId="9" xfId="0" applyFont="1" applyBorder="1"/>
    <xf numFmtId="0" fontId="2" fillId="0" borderId="5" xfId="0" applyFont="1" applyBorder="1"/>
    <xf numFmtId="0" fontId="4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2" fillId="3" borderId="8" xfId="0" applyFont="1" applyFill="1" applyBorder="1" applyAlignment="1">
      <alignment horizontal="right" wrapText="1"/>
    </xf>
    <xf numFmtId="0" fontId="2" fillId="3" borderId="7" xfId="0" applyFont="1" applyFill="1" applyBorder="1" applyAlignment="1">
      <alignment horizontal="right"/>
    </xf>
    <xf numFmtId="0" fontId="2" fillId="2" borderId="1" xfId="0" applyFont="1" applyFill="1" applyBorder="1" applyAlignment="1">
      <alignment horizontal="center"/>
    </xf>
    <xf numFmtId="0" fontId="3" fillId="0" borderId="5" xfId="0" applyFont="1" applyBorder="1"/>
    <xf numFmtId="0" fontId="2" fillId="2" borderId="2" xfId="0" applyFont="1" applyFill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2" fillId="2" borderId="6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2000" b="0" i="0">
                <a:solidFill>
                  <a:srgbClr val="757575"/>
                </a:solidFill>
                <a:latin typeface="Calibri Light"/>
              </a:defRPr>
            </a:pPr>
            <a:r>
              <a:rPr lang="es-CL" sz="2000" b="0" i="0">
                <a:solidFill>
                  <a:srgbClr val="757575"/>
                </a:solidFill>
                <a:latin typeface="Calibri Light"/>
              </a:rPr>
              <a:t>BurnDown Trabajo Pendiente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Horas Reales de producto por realizar</c:v>
          </c:tx>
          <c:spPr>
            <a:ln w="38100" cmpd="sng">
              <a:solidFill>
                <a:schemeClr val="accent1"/>
              </a:solidFill>
            </a:ln>
          </c:spPr>
          <c:marker>
            <c:symbol val="none"/>
          </c:marker>
          <c:cat>
            <c:numRef>
              <c:f>Ejemplo1!$C$4:$V$4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cat>
          <c:val>
            <c:numRef>
              <c:f>Ejemplo1!$C$5:$V$5</c:f>
              <c:numCache>
                <c:formatCode>General</c:formatCode>
                <c:ptCount val="2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4B-4D39-A477-B5F422429D33}"/>
            </c:ext>
          </c:extLst>
        </c:ser>
        <c:ser>
          <c:idx val="1"/>
          <c:order val="1"/>
          <c:tx>
            <c:v>Horas Estimadas de producto por realizar</c:v>
          </c:tx>
          <c:spPr>
            <a:ln w="38100" cmpd="sng"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Ejemplo1!$C$4:$V$4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cat>
          <c:val>
            <c:numRef>
              <c:f>Ejemplo1!$C$6:$V$6</c:f>
              <c:numCache>
                <c:formatCode>General</c:formatCode>
                <c:ptCount val="20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4B-4D39-A477-B5F422429D33}"/>
            </c:ext>
          </c:extLst>
        </c:ser>
        <c:ser>
          <c:idx val="2"/>
          <c:order val="2"/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numRef>
              <c:f>Ejemplo1!$C$4:$V$4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cat>
          <c:val>
            <c:numRef>
              <c:f>Ejemplo1!$C$7:$V$7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54B-4D39-A477-B5F422429D33}"/>
            </c:ext>
          </c:extLst>
        </c:ser>
        <c:ser>
          <c:idx val="3"/>
          <c:order val="3"/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Ejemplo1!$C$4:$V$4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cat>
          <c:val>
            <c:numRef>
              <c:f>Ejemplo1!$C$8:$V$8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54B-4D39-A477-B5F422429D33}"/>
            </c:ext>
          </c:extLst>
        </c:ser>
        <c:ser>
          <c:idx val="4"/>
          <c:order val="4"/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numRef>
              <c:f>Ejemplo1!$C$4:$V$4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cat>
          <c:val>
            <c:numRef>
              <c:f>Ejemplo1!$C$9:$V$9</c:f>
              <c:numCache>
                <c:formatCode>General</c:formatCode>
                <c:ptCount val="20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54B-4D39-A477-B5F422429D33}"/>
            </c:ext>
          </c:extLst>
        </c:ser>
        <c:ser>
          <c:idx val="5"/>
          <c:order val="5"/>
          <c:spPr>
            <a:ln cmpd="sng">
              <a:solidFill>
                <a:srgbClr val="70AD47"/>
              </a:solidFill>
            </a:ln>
          </c:spPr>
          <c:marker>
            <c:symbol val="none"/>
          </c:marker>
          <c:cat>
            <c:numRef>
              <c:f>Ejemplo1!$C$4:$V$4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cat>
          <c:val>
            <c:numRef>
              <c:f>Ejemplo1!$C$10:$V$10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54B-4D39-A477-B5F422429D33}"/>
            </c:ext>
          </c:extLst>
        </c:ser>
        <c:ser>
          <c:idx val="6"/>
          <c:order val="6"/>
          <c:spPr>
            <a:ln cmpd="sng">
              <a:solidFill>
                <a:srgbClr val="8CB9E2"/>
              </a:solidFill>
            </a:ln>
          </c:spPr>
          <c:marker>
            <c:symbol val="none"/>
          </c:marker>
          <c:cat>
            <c:numRef>
              <c:f>Ejemplo1!$C$4:$V$4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cat>
          <c:val>
            <c:numRef>
              <c:f>Ejemplo1!$C$11:$V$11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54B-4D39-A477-B5F422429D33}"/>
            </c:ext>
          </c:extLst>
        </c:ser>
        <c:ser>
          <c:idx val="7"/>
          <c:order val="7"/>
          <c:spPr>
            <a:ln cmpd="sng">
              <a:solidFill>
                <a:srgbClr val="F2A46F"/>
              </a:solidFill>
            </a:ln>
          </c:spPr>
          <c:marker>
            <c:symbol val="none"/>
          </c:marker>
          <c:cat>
            <c:numRef>
              <c:f>Ejemplo1!$C$4:$V$4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cat>
          <c:val>
            <c:numRef>
              <c:f>Ejemplo1!$C$12:$V$12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54B-4D39-A477-B5F422429D33}"/>
            </c:ext>
          </c:extLst>
        </c:ser>
        <c:ser>
          <c:idx val="8"/>
          <c:order val="8"/>
          <c:spPr>
            <a:ln cmpd="sng">
              <a:solidFill>
                <a:srgbClr val="C0C0C0"/>
              </a:solidFill>
            </a:ln>
          </c:spPr>
          <c:marker>
            <c:symbol val="none"/>
          </c:marker>
          <c:cat>
            <c:numRef>
              <c:f>Ejemplo1!$C$4:$V$4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cat>
          <c:val>
            <c:numRef>
              <c:f>Ejemplo1!$C$13:$V$13</c:f>
              <c:numCache>
                <c:formatCode>General</c:formatCode>
                <c:ptCount val="2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54B-4D39-A477-B5F422429D33}"/>
            </c:ext>
          </c:extLst>
        </c:ser>
        <c:ser>
          <c:idx val="9"/>
          <c:order val="9"/>
          <c:spPr>
            <a:ln cmpd="sng">
              <a:solidFill>
                <a:srgbClr val="FFD34D"/>
              </a:solidFill>
            </a:ln>
          </c:spPr>
          <c:marker>
            <c:symbol val="none"/>
          </c:marker>
          <c:cat>
            <c:numRef>
              <c:f>Ejemplo1!$C$4:$V$4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cat>
          <c:val>
            <c:numRef>
              <c:f>Ejemplo1!$C$14:$V$14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54B-4D39-A477-B5F422429D33}"/>
            </c:ext>
          </c:extLst>
        </c:ser>
        <c:ser>
          <c:idx val="10"/>
          <c:order val="10"/>
          <c:spPr>
            <a:ln cmpd="sng">
              <a:solidFill>
                <a:srgbClr val="7C9CD6"/>
              </a:solidFill>
            </a:ln>
          </c:spPr>
          <c:marker>
            <c:symbol val="none"/>
          </c:marker>
          <c:cat>
            <c:numRef>
              <c:f>Ejemplo1!$C$4:$V$4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cat>
          <c:val>
            <c:numRef>
              <c:f>Ejemplo1!$C$15:$V$15</c:f>
              <c:numCache>
                <c:formatCode>General</c:formatCode>
                <c:ptCount val="2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54B-4D39-A477-B5F422429D33}"/>
            </c:ext>
          </c:extLst>
        </c:ser>
        <c:ser>
          <c:idx val="11"/>
          <c:order val="11"/>
          <c:spPr>
            <a:ln cmpd="sng">
              <a:solidFill>
                <a:srgbClr val="9BC67E"/>
              </a:solidFill>
            </a:ln>
          </c:spPr>
          <c:marker>
            <c:symbol val="none"/>
          </c:marker>
          <c:cat>
            <c:numRef>
              <c:f>Ejemplo1!$C$4:$V$4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cat>
          <c:val>
            <c:numRef>
              <c:f>Ejemplo1!$D$26:$W$26</c:f>
              <c:numCache>
                <c:formatCode>General</c:formatCode>
                <c:ptCount val="20"/>
                <c:pt idx="0">
                  <c:v>130</c:v>
                </c:pt>
                <c:pt idx="1">
                  <c:v>118</c:v>
                </c:pt>
                <c:pt idx="2">
                  <c:v>106</c:v>
                </c:pt>
                <c:pt idx="3">
                  <c:v>95</c:v>
                </c:pt>
                <c:pt idx="4">
                  <c:v>85</c:v>
                </c:pt>
                <c:pt idx="5">
                  <c:v>75</c:v>
                </c:pt>
                <c:pt idx="6">
                  <c:v>65</c:v>
                </c:pt>
                <c:pt idx="7">
                  <c:v>55</c:v>
                </c:pt>
                <c:pt idx="8">
                  <c:v>45</c:v>
                </c:pt>
                <c:pt idx="9">
                  <c:v>35</c:v>
                </c:pt>
                <c:pt idx="10">
                  <c:v>25</c:v>
                </c:pt>
                <c:pt idx="11">
                  <c:v>16</c:v>
                </c:pt>
                <c:pt idx="12">
                  <c:v>10</c:v>
                </c:pt>
                <c:pt idx="13">
                  <c:v>4</c:v>
                </c:pt>
                <c:pt idx="14">
                  <c:v>0</c:v>
                </c:pt>
                <c:pt idx="15">
                  <c:v>-2</c:v>
                </c:pt>
                <c:pt idx="16">
                  <c:v>-2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54B-4D39-A477-B5F422429D33}"/>
            </c:ext>
          </c:extLst>
        </c:ser>
        <c:ser>
          <c:idx val="12"/>
          <c:order val="12"/>
          <c:spPr>
            <a:ln cmpd="sng">
              <a:solidFill>
                <a:srgbClr val="BDD7EE"/>
              </a:solidFill>
            </a:ln>
          </c:spPr>
          <c:marker>
            <c:symbol val="none"/>
          </c:marker>
          <c:cat>
            <c:numRef>
              <c:f>Ejemplo1!$C$4:$V$4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cat>
          <c:val>
            <c:numRef>
              <c:f>Ejemplo1!$D$28:$W$28</c:f>
              <c:numCache>
                <c:formatCode>General</c:formatCode>
                <c:ptCount val="20"/>
                <c:pt idx="0">
                  <c:v>136.80000000000001</c:v>
                </c:pt>
                <c:pt idx="1">
                  <c:v>129.60000000000002</c:v>
                </c:pt>
                <c:pt idx="2">
                  <c:v>122.40000000000002</c:v>
                </c:pt>
                <c:pt idx="3">
                  <c:v>115.20000000000002</c:v>
                </c:pt>
                <c:pt idx="4">
                  <c:v>108.00000000000001</c:v>
                </c:pt>
                <c:pt idx="5">
                  <c:v>100.80000000000001</c:v>
                </c:pt>
                <c:pt idx="6">
                  <c:v>93.600000000000009</c:v>
                </c:pt>
                <c:pt idx="7">
                  <c:v>86.4</c:v>
                </c:pt>
                <c:pt idx="8">
                  <c:v>79.2</c:v>
                </c:pt>
                <c:pt idx="9">
                  <c:v>72</c:v>
                </c:pt>
                <c:pt idx="10">
                  <c:v>64.8</c:v>
                </c:pt>
                <c:pt idx="11">
                  <c:v>57.599999999999994</c:v>
                </c:pt>
                <c:pt idx="12">
                  <c:v>50.399999999999991</c:v>
                </c:pt>
                <c:pt idx="13">
                  <c:v>43.199999999999989</c:v>
                </c:pt>
                <c:pt idx="14">
                  <c:v>35.999999999999986</c:v>
                </c:pt>
                <c:pt idx="15">
                  <c:v>28.799999999999986</c:v>
                </c:pt>
                <c:pt idx="16">
                  <c:v>21.599999999999987</c:v>
                </c:pt>
                <c:pt idx="17">
                  <c:v>14.399999999999988</c:v>
                </c:pt>
                <c:pt idx="19">
                  <c:v>-7.2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54B-4D39-A477-B5F422429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2821052"/>
        <c:axId val="774691976"/>
      </c:lineChart>
      <c:catAx>
        <c:axId val="5228210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CL" sz="900" b="0" i="0">
                    <a:solidFill>
                      <a:srgbClr val="000000"/>
                    </a:solidFill>
                    <a:latin typeface="+mn-lt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CL"/>
          </a:p>
        </c:txPr>
        <c:crossAx val="774691976"/>
        <c:crosses val="autoZero"/>
        <c:auto val="1"/>
        <c:lblAlgn val="ctr"/>
        <c:lblOffset val="100"/>
        <c:noMultiLvlLbl val="1"/>
      </c:catAx>
      <c:valAx>
        <c:axId val="7746919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CL" sz="900" b="0" i="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CL"/>
          </a:p>
        </c:txPr>
        <c:crossAx val="522821052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C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23</xdr:col>
      <xdr:colOff>161924</xdr:colOff>
      <xdr:row>1</xdr:row>
      <xdr:rowOff>142874</xdr:rowOff>
    </xdr:from>
    <xdr:ext cx="5886451" cy="5438775"/>
    <xdr:graphicFrame macro="">
      <xdr:nvGraphicFramePr>
        <xdr:cNvPr id="545639517" name="Chart 1">
          <a:extLst>
            <a:ext uri="{FF2B5EF4-FFF2-40B4-BE49-F238E27FC236}">
              <a16:creationId xmlns:a16="http://schemas.microsoft.com/office/drawing/2014/main" id="{00000000-0008-0000-0000-00005DCC85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0"/>
  <sheetViews>
    <sheetView tabSelected="1" zoomScale="80" zoomScaleNormal="80" workbookViewId="0">
      <selection activeCell="I40" sqref="I40"/>
    </sheetView>
  </sheetViews>
  <sheetFormatPr baseColWidth="10" defaultColWidth="14.44140625" defaultRowHeight="15" customHeight="1" x14ac:dyDescent="0.3"/>
  <cols>
    <col min="1" max="1" width="26.33203125" customWidth="1"/>
    <col min="2" max="2" width="17" customWidth="1"/>
    <col min="3" max="6" width="6.6640625" bestFit="1" customWidth="1"/>
    <col min="7" max="7" width="6.44140625" customWidth="1"/>
    <col min="8" max="12" width="6.6640625" bestFit="1" customWidth="1"/>
    <col min="13" max="22" width="5.5546875" bestFit="1" customWidth="1"/>
    <col min="23" max="29" width="10.6640625" customWidth="1"/>
  </cols>
  <sheetData>
    <row r="1" spans="1:23" ht="36.6" customHeight="1" x14ac:dyDescent="0.4">
      <c r="A1" s="1" t="s">
        <v>7</v>
      </c>
      <c r="B1" s="2"/>
      <c r="C1" s="2"/>
      <c r="D1" s="2"/>
      <c r="E1" s="2"/>
      <c r="F1" s="2"/>
      <c r="G1" s="2" t="s">
        <v>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14.2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14.25" customHeight="1" x14ac:dyDescent="0.3">
      <c r="A3" s="14" t="s">
        <v>1</v>
      </c>
      <c r="B3" s="14" t="s">
        <v>2</v>
      </c>
      <c r="C3" s="16" t="s">
        <v>3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8"/>
      <c r="W3" s="19" t="s">
        <v>4</v>
      </c>
    </row>
    <row r="4" spans="1:23" ht="14.25" customHeight="1" x14ac:dyDescent="0.3">
      <c r="A4" s="15"/>
      <c r="B4" s="15"/>
      <c r="C4" s="3">
        <v>1</v>
      </c>
      <c r="D4" s="3">
        <v>2</v>
      </c>
      <c r="E4" s="3">
        <v>3</v>
      </c>
      <c r="F4" s="3">
        <v>4</v>
      </c>
      <c r="G4" s="3">
        <v>5</v>
      </c>
      <c r="H4" s="3">
        <v>6</v>
      </c>
      <c r="I4" s="3">
        <v>7</v>
      </c>
      <c r="J4" s="3">
        <v>8</v>
      </c>
      <c r="K4" s="3">
        <v>9</v>
      </c>
      <c r="L4" s="3">
        <v>10</v>
      </c>
      <c r="M4" s="3">
        <v>11</v>
      </c>
      <c r="N4" s="3">
        <v>12</v>
      </c>
      <c r="O4" s="3">
        <v>13</v>
      </c>
      <c r="P4" s="3">
        <v>14</v>
      </c>
      <c r="Q4" s="3">
        <v>15</v>
      </c>
      <c r="R4" s="3">
        <v>16</v>
      </c>
      <c r="S4" s="3"/>
      <c r="T4" s="3"/>
      <c r="U4" s="3"/>
      <c r="V4" s="3"/>
      <c r="W4" s="20"/>
    </row>
    <row r="5" spans="1:23" ht="14.25" customHeight="1" x14ac:dyDescent="0.3">
      <c r="A5" s="4" t="s">
        <v>8</v>
      </c>
      <c r="B5" s="5">
        <v>18</v>
      </c>
      <c r="C5" s="4">
        <v>2</v>
      </c>
      <c r="D5" s="4">
        <v>2</v>
      </c>
      <c r="E5" s="4">
        <v>2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6">
        <f t="shared" ref="W5:W22" si="0">SUM(C5:V5)</f>
        <v>18</v>
      </c>
    </row>
    <row r="6" spans="1:23" ht="14.25" customHeight="1" x14ac:dyDescent="0.3">
      <c r="A6" s="4" t="s">
        <v>9</v>
      </c>
      <c r="B6" s="5">
        <v>16</v>
      </c>
      <c r="C6" s="4">
        <v>2</v>
      </c>
      <c r="D6" s="4">
        <v>1</v>
      </c>
      <c r="E6" s="4">
        <v>1</v>
      </c>
      <c r="F6" s="4">
        <v>1</v>
      </c>
      <c r="G6" s="4">
        <v>1</v>
      </c>
      <c r="H6" s="4">
        <v>1</v>
      </c>
      <c r="I6" s="4">
        <v>1</v>
      </c>
      <c r="J6" s="4">
        <v>1</v>
      </c>
      <c r="K6" s="4">
        <v>1</v>
      </c>
      <c r="L6" s="4">
        <v>1</v>
      </c>
      <c r="M6" s="4">
        <v>1</v>
      </c>
      <c r="N6" s="4">
        <v>1</v>
      </c>
      <c r="O6" s="4">
        <v>1</v>
      </c>
      <c r="P6" s="4">
        <v>1</v>
      </c>
      <c r="Q6" s="4">
        <v>1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7">
        <f t="shared" si="0"/>
        <v>16</v>
      </c>
    </row>
    <row r="7" spans="1:23" ht="14.25" customHeight="1" x14ac:dyDescent="0.3">
      <c r="A7" s="4" t="s">
        <v>10</v>
      </c>
      <c r="B7" s="5">
        <v>14</v>
      </c>
      <c r="C7" s="4">
        <v>1</v>
      </c>
      <c r="D7" s="4">
        <v>1</v>
      </c>
      <c r="E7" s="4">
        <v>1</v>
      </c>
      <c r="F7" s="4">
        <v>1</v>
      </c>
      <c r="G7" s="4">
        <v>1</v>
      </c>
      <c r="H7" s="4">
        <v>1</v>
      </c>
      <c r="I7" s="4">
        <v>1</v>
      </c>
      <c r="J7" s="4">
        <v>1</v>
      </c>
      <c r="K7" s="4">
        <v>1</v>
      </c>
      <c r="L7" s="4">
        <v>1</v>
      </c>
      <c r="M7" s="4">
        <v>1</v>
      </c>
      <c r="N7" s="4">
        <v>1</v>
      </c>
      <c r="O7" s="4">
        <v>1</v>
      </c>
      <c r="P7" s="4">
        <v>1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7">
        <f t="shared" si="0"/>
        <v>14</v>
      </c>
    </row>
    <row r="8" spans="1:23" ht="14.25" customHeight="1" x14ac:dyDescent="0.3">
      <c r="A8" s="4" t="s">
        <v>11</v>
      </c>
      <c r="B8" s="5">
        <v>12</v>
      </c>
      <c r="C8" s="4">
        <v>1</v>
      </c>
      <c r="D8" s="4">
        <v>1</v>
      </c>
      <c r="E8" s="4">
        <v>1</v>
      </c>
      <c r="F8" s="4">
        <v>1</v>
      </c>
      <c r="G8" s="4">
        <v>1</v>
      </c>
      <c r="H8" s="4">
        <v>1</v>
      </c>
      <c r="I8" s="4">
        <v>1</v>
      </c>
      <c r="J8" s="4">
        <v>1</v>
      </c>
      <c r="K8" s="4">
        <v>1</v>
      </c>
      <c r="L8" s="4">
        <v>1</v>
      </c>
      <c r="M8" s="4">
        <v>1</v>
      </c>
      <c r="N8" s="4">
        <v>1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7">
        <f t="shared" si="0"/>
        <v>12</v>
      </c>
    </row>
    <row r="9" spans="1:23" ht="14.25" customHeight="1" x14ac:dyDescent="0.3">
      <c r="A9" s="4" t="s">
        <v>12</v>
      </c>
      <c r="B9" s="5">
        <v>12</v>
      </c>
      <c r="C9" s="4">
        <v>2</v>
      </c>
      <c r="D9" s="4">
        <v>1</v>
      </c>
      <c r="E9" s="4">
        <v>1</v>
      </c>
      <c r="F9" s="4">
        <v>1</v>
      </c>
      <c r="G9" s="4">
        <v>1</v>
      </c>
      <c r="H9" s="4">
        <v>1</v>
      </c>
      <c r="I9" s="4">
        <v>1</v>
      </c>
      <c r="J9" s="4">
        <v>1</v>
      </c>
      <c r="K9" s="4">
        <v>1</v>
      </c>
      <c r="L9" s="4">
        <v>1</v>
      </c>
      <c r="M9" s="4">
        <v>1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7">
        <f t="shared" si="0"/>
        <v>12</v>
      </c>
    </row>
    <row r="10" spans="1:23" ht="14.25" customHeight="1" x14ac:dyDescent="0.3">
      <c r="A10" s="4" t="s">
        <v>13</v>
      </c>
      <c r="B10" s="5">
        <v>10</v>
      </c>
      <c r="C10" s="4">
        <v>1</v>
      </c>
      <c r="D10" s="4">
        <v>1</v>
      </c>
      <c r="E10" s="4">
        <v>1</v>
      </c>
      <c r="F10" s="4">
        <v>1</v>
      </c>
      <c r="G10" s="4">
        <v>1</v>
      </c>
      <c r="H10" s="4">
        <v>1</v>
      </c>
      <c r="I10" s="4">
        <v>1</v>
      </c>
      <c r="J10" s="4">
        <v>1</v>
      </c>
      <c r="K10" s="4">
        <v>1</v>
      </c>
      <c r="L10" s="4">
        <v>1</v>
      </c>
      <c r="M10" s="4">
        <v>1</v>
      </c>
      <c r="N10" s="4">
        <v>1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7">
        <f t="shared" si="0"/>
        <v>12</v>
      </c>
    </row>
    <row r="11" spans="1:23" ht="14.25" customHeight="1" x14ac:dyDescent="0.3">
      <c r="A11" s="4" t="s">
        <v>14</v>
      </c>
      <c r="B11" s="5">
        <v>14</v>
      </c>
      <c r="C11" s="4">
        <v>1</v>
      </c>
      <c r="D11" s="4">
        <v>1</v>
      </c>
      <c r="E11" s="4">
        <v>1</v>
      </c>
      <c r="F11" s="4">
        <v>1</v>
      </c>
      <c r="G11" s="4">
        <v>1</v>
      </c>
      <c r="H11" s="4">
        <v>1</v>
      </c>
      <c r="I11" s="4">
        <v>1</v>
      </c>
      <c r="J11" s="4">
        <v>1</v>
      </c>
      <c r="K11" s="4">
        <v>1</v>
      </c>
      <c r="L11" s="4">
        <v>1</v>
      </c>
      <c r="M11" s="4">
        <v>1</v>
      </c>
      <c r="N11" s="4">
        <v>1</v>
      </c>
      <c r="O11" s="4">
        <v>1</v>
      </c>
      <c r="P11" s="4">
        <v>1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7">
        <f t="shared" si="0"/>
        <v>14</v>
      </c>
    </row>
    <row r="12" spans="1:23" ht="14.25" customHeight="1" x14ac:dyDescent="0.3">
      <c r="A12" s="4" t="s">
        <v>15</v>
      </c>
      <c r="B12" s="5">
        <v>16</v>
      </c>
      <c r="C12" s="12">
        <v>1</v>
      </c>
      <c r="D12" s="12">
        <v>1</v>
      </c>
      <c r="E12" s="12">
        <v>1</v>
      </c>
      <c r="F12" s="12">
        <v>1</v>
      </c>
      <c r="G12" s="12">
        <v>1</v>
      </c>
      <c r="H12" s="12">
        <v>1</v>
      </c>
      <c r="I12" s="12">
        <v>1</v>
      </c>
      <c r="J12" s="12">
        <v>1</v>
      </c>
      <c r="K12" s="12">
        <v>1</v>
      </c>
      <c r="L12" s="12">
        <v>1</v>
      </c>
      <c r="M12" s="12">
        <v>1</v>
      </c>
      <c r="N12" s="12">
        <v>1</v>
      </c>
      <c r="O12" s="12">
        <v>1</v>
      </c>
      <c r="P12" s="12">
        <v>1</v>
      </c>
      <c r="Q12" s="12">
        <v>1</v>
      </c>
      <c r="R12" s="12">
        <v>1</v>
      </c>
      <c r="S12" s="13">
        <v>0</v>
      </c>
      <c r="T12" s="13">
        <v>0</v>
      </c>
      <c r="U12" s="13">
        <v>0</v>
      </c>
      <c r="V12" s="13">
        <v>0</v>
      </c>
      <c r="W12" s="7">
        <f t="shared" si="0"/>
        <v>16</v>
      </c>
    </row>
    <row r="13" spans="1:23" ht="14.25" customHeight="1" x14ac:dyDescent="0.3">
      <c r="A13" s="4" t="s">
        <v>16</v>
      </c>
      <c r="B13" s="5">
        <v>20</v>
      </c>
      <c r="C13" s="12">
        <v>2</v>
      </c>
      <c r="D13" s="12">
        <v>2</v>
      </c>
      <c r="E13" s="12">
        <v>2</v>
      </c>
      <c r="F13" s="12">
        <v>2</v>
      </c>
      <c r="G13" s="12">
        <v>1</v>
      </c>
      <c r="H13" s="12">
        <v>1</v>
      </c>
      <c r="I13" s="12">
        <v>1</v>
      </c>
      <c r="J13" s="12">
        <v>1</v>
      </c>
      <c r="K13" s="12">
        <v>1</v>
      </c>
      <c r="L13" s="12">
        <v>1</v>
      </c>
      <c r="M13" s="12">
        <v>1</v>
      </c>
      <c r="N13" s="12">
        <v>1</v>
      </c>
      <c r="O13" s="12">
        <v>1</v>
      </c>
      <c r="P13" s="12">
        <v>1</v>
      </c>
      <c r="Q13" s="12">
        <v>1</v>
      </c>
      <c r="R13" s="12">
        <v>1</v>
      </c>
      <c r="S13" s="12">
        <v>0</v>
      </c>
      <c r="T13" s="13">
        <v>0</v>
      </c>
      <c r="U13" s="13">
        <v>0</v>
      </c>
      <c r="V13" s="13">
        <v>0</v>
      </c>
      <c r="W13" s="7">
        <f t="shared" si="0"/>
        <v>20</v>
      </c>
    </row>
    <row r="14" spans="1:23" ht="14.25" customHeight="1" x14ac:dyDescent="0.3">
      <c r="A14" s="4" t="s">
        <v>17</v>
      </c>
      <c r="B14" s="5">
        <v>12</v>
      </c>
      <c r="C14" s="12">
        <v>1</v>
      </c>
      <c r="D14" s="12">
        <v>1</v>
      </c>
      <c r="E14" s="12">
        <v>1</v>
      </c>
      <c r="F14" s="12">
        <v>1</v>
      </c>
      <c r="G14" s="12">
        <v>1</v>
      </c>
      <c r="H14" s="12">
        <v>1</v>
      </c>
      <c r="I14" s="12">
        <v>1</v>
      </c>
      <c r="J14" s="12">
        <v>1</v>
      </c>
      <c r="K14" s="12">
        <v>1</v>
      </c>
      <c r="L14" s="12">
        <v>1</v>
      </c>
      <c r="M14" s="12">
        <v>1</v>
      </c>
      <c r="N14" s="12">
        <v>1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7">
        <f t="shared" si="0"/>
        <v>12</v>
      </c>
    </row>
    <row r="15" spans="1:23" ht="14.25" customHeight="1" x14ac:dyDescent="0.3">
      <c r="A15" s="4"/>
      <c r="B15" s="5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7">
        <f t="shared" si="0"/>
        <v>0</v>
      </c>
    </row>
    <row r="16" spans="1:23" ht="14.25" customHeight="1" x14ac:dyDescent="0.3">
      <c r="A16" s="4"/>
      <c r="B16" s="5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7">
        <f t="shared" si="0"/>
        <v>0</v>
      </c>
    </row>
    <row r="17" spans="1:23" ht="14.25" customHeight="1" x14ac:dyDescent="0.3">
      <c r="A17" s="4"/>
      <c r="B17" s="5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7">
        <f t="shared" si="0"/>
        <v>0</v>
      </c>
    </row>
    <row r="18" spans="1:23" ht="14.25" customHeight="1" x14ac:dyDescent="0.3">
      <c r="A18" s="4"/>
      <c r="B18" s="5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7">
        <f t="shared" si="0"/>
        <v>0</v>
      </c>
    </row>
    <row r="19" spans="1:23" ht="14.25" customHeight="1" x14ac:dyDescent="0.3">
      <c r="A19" s="4"/>
      <c r="B19" s="5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7">
        <f t="shared" si="0"/>
        <v>0</v>
      </c>
    </row>
    <row r="20" spans="1:23" ht="14.25" customHeight="1" x14ac:dyDescent="0.3">
      <c r="A20" s="4"/>
      <c r="B20" s="5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7">
        <f t="shared" si="0"/>
        <v>0</v>
      </c>
    </row>
    <row r="21" spans="1:23" ht="14.25" customHeight="1" x14ac:dyDescent="0.3">
      <c r="A21" s="4"/>
      <c r="B21" s="5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7">
        <f t="shared" si="0"/>
        <v>0</v>
      </c>
    </row>
    <row r="22" spans="1:23" ht="14.25" customHeight="1" x14ac:dyDescent="0.3">
      <c r="A22" s="4"/>
      <c r="B22" s="5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7">
        <f t="shared" si="0"/>
        <v>0</v>
      </c>
    </row>
    <row r="23" spans="1:23" ht="14.25" customHeight="1" x14ac:dyDescent="0.3">
      <c r="A23" s="4"/>
      <c r="B23" s="5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7"/>
    </row>
    <row r="24" spans="1:23" ht="14.25" customHeight="1" x14ac:dyDescent="0.3">
      <c r="A24" s="4"/>
      <c r="B24" s="5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8">
        <f>SUM(C24:V24)</f>
        <v>0</v>
      </c>
    </row>
    <row r="25" spans="1:23" ht="14.2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ht="14.25" customHeight="1" x14ac:dyDescent="0.3">
      <c r="A26" s="2"/>
      <c r="B26" s="9">
        <f>SUM(B5:B25)</f>
        <v>144</v>
      </c>
      <c r="C26" s="9">
        <f>B26</f>
        <v>144</v>
      </c>
      <c r="D26" s="9">
        <f>C26-SUM(C5:C14)</f>
        <v>130</v>
      </c>
      <c r="E26" s="9">
        <f>D26-SUM(D5:D14)</f>
        <v>118</v>
      </c>
      <c r="F26" s="9">
        <f t="shared" ref="F26:S26" si="1">E26-SUM(E5:E14)</f>
        <v>106</v>
      </c>
      <c r="G26" s="9">
        <f t="shared" si="1"/>
        <v>95</v>
      </c>
      <c r="H26" s="9">
        <f t="shared" si="1"/>
        <v>85</v>
      </c>
      <c r="I26" s="9">
        <f>H26-SUM(H5:H14)</f>
        <v>75</v>
      </c>
      <c r="J26" s="9">
        <f t="shared" si="1"/>
        <v>65</v>
      </c>
      <c r="K26" s="9">
        <f t="shared" si="1"/>
        <v>55</v>
      </c>
      <c r="L26" s="9">
        <f>K26-SUM(K5:K14)</f>
        <v>45</v>
      </c>
      <c r="M26" s="9">
        <f t="shared" si="1"/>
        <v>35</v>
      </c>
      <c r="N26" s="9">
        <f t="shared" si="1"/>
        <v>25</v>
      </c>
      <c r="O26" s="9">
        <f t="shared" si="1"/>
        <v>16</v>
      </c>
      <c r="P26" s="9">
        <f t="shared" si="1"/>
        <v>10</v>
      </c>
      <c r="Q26" s="9">
        <f>P26-SUM(P5:P14)</f>
        <v>4</v>
      </c>
      <c r="R26" s="9">
        <f t="shared" si="1"/>
        <v>0</v>
      </c>
      <c r="S26" s="9">
        <f>R26-SUM(R5:R14)</f>
        <v>-2</v>
      </c>
      <c r="T26" s="9">
        <f>S26-SUM(S5:S24)</f>
        <v>-2</v>
      </c>
      <c r="U26" s="9"/>
      <c r="V26" s="9"/>
      <c r="W26" s="9">
        <f>V26-SUM(V5:V24)</f>
        <v>0</v>
      </c>
    </row>
    <row r="27" spans="1:23" ht="14.25" customHeight="1" x14ac:dyDescent="0.3">
      <c r="A27" s="10" t="s">
        <v>5</v>
      </c>
      <c r="B27" s="2">
        <f t="shared" ref="B27:S27" si="2">C26</f>
        <v>144</v>
      </c>
      <c r="C27" s="2">
        <f>D26</f>
        <v>130</v>
      </c>
      <c r="D27" s="2">
        <f>E26</f>
        <v>118</v>
      </c>
      <c r="E27" s="2">
        <f t="shared" si="2"/>
        <v>106</v>
      </c>
      <c r="F27" s="2">
        <f t="shared" si="2"/>
        <v>95</v>
      </c>
      <c r="G27" s="2">
        <f t="shared" si="2"/>
        <v>85</v>
      </c>
      <c r="H27" s="2">
        <f t="shared" si="2"/>
        <v>75</v>
      </c>
      <c r="I27" s="2">
        <f t="shared" si="2"/>
        <v>65</v>
      </c>
      <c r="J27" s="2">
        <f t="shared" si="2"/>
        <v>55</v>
      </c>
      <c r="K27" s="2">
        <f t="shared" si="2"/>
        <v>45</v>
      </c>
      <c r="L27" s="2">
        <f t="shared" si="2"/>
        <v>35</v>
      </c>
      <c r="M27" s="2">
        <f t="shared" si="2"/>
        <v>25</v>
      </c>
      <c r="N27" s="2">
        <f t="shared" si="2"/>
        <v>16</v>
      </c>
      <c r="O27" s="2">
        <f t="shared" si="2"/>
        <v>10</v>
      </c>
      <c r="P27" s="2">
        <f t="shared" si="2"/>
        <v>4</v>
      </c>
      <c r="Q27" s="2">
        <f t="shared" si="2"/>
        <v>0</v>
      </c>
      <c r="R27" s="2">
        <f t="shared" si="2"/>
        <v>-2</v>
      </c>
      <c r="S27" s="2">
        <f t="shared" si="2"/>
        <v>-2</v>
      </c>
      <c r="T27" s="2"/>
      <c r="U27" s="2"/>
      <c r="V27" s="2"/>
      <c r="W27" s="2"/>
    </row>
    <row r="28" spans="1:23" ht="14.25" customHeight="1" x14ac:dyDescent="0.3">
      <c r="A28" s="2"/>
      <c r="B28" s="9">
        <f>SUM(B5:B24)</f>
        <v>144</v>
      </c>
      <c r="C28" s="9">
        <f>SUM(B5:B24)</f>
        <v>144</v>
      </c>
      <c r="D28" s="9">
        <f t="shared" ref="D28:W28" si="3">C28-(SUM($B$5:$B$24)/20)</f>
        <v>136.80000000000001</v>
      </c>
      <c r="E28" s="9">
        <f t="shared" si="3"/>
        <v>129.60000000000002</v>
      </c>
      <c r="F28" s="9">
        <f t="shared" si="3"/>
        <v>122.40000000000002</v>
      </c>
      <c r="G28" s="9">
        <f t="shared" si="3"/>
        <v>115.20000000000002</v>
      </c>
      <c r="H28" s="9">
        <f t="shared" si="3"/>
        <v>108.00000000000001</v>
      </c>
      <c r="I28" s="9">
        <f t="shared" si="3"/>
        <v>100.80000000000001</v>
      </c>
      <c r="J28" s="9">
        <f t="shared" si="3"/>
        <v>93.600000000000009</v>
      </c>
      <c r="K28" s="9">
        <f t="shared" si="3"/>
        <v>86.4</v>
      </c>
      <c r="L28" s="9">
        <f t="shared" si="3"/>
        <v>79.2</v>
      </c>
      <c r="M28" s="9">
        <f t="shared" si="3"/>
        <v>72</v>
      </c>
      <c r="N28" s="9">
        <f t="shared" si="3"/>
        <v>64.8</v>
      </c>
      <c r="O28" s="9">
        <f t="shared" si="3"/>
        <v>57.599999999999994</v>
      </c>
      <c r="P28" s="9">
        <f t="shared" si="3"/>
        <v>50.399999999999991</v>
      </c>
      <c r="Q28" s="9">
        <f t="shared" si="3"/>
        <v>43.199999999999989</v>
      </c>
      <c r="R28" s="9">
        <f t="shared" si="3"/>
        <v>35.999999999999986</v>
      </c>
      <c r="S28" s="9">
        <f t="shared" si="3"/>
        <v>28.799999999999986</v>
      </c>
      <c r="T28" s="9">
        <f t="shared" si="3"/>
        <v>21.599999999999987</v>
      </c>
      <c r="U28" s="9">
        <f t="shared" si="3"/>
        <v>14.399999999999988</v>
      </c>
      <c r="V28" s="9"/>
      <c r="W28" s="9">
        <f t="shared" si="3"/>
        <v>-7.2</v>
      </c>
    </row>
    <row r="29" spans="1:23" ht="14.25" customHeight="1" x14ac:dyDescent="0.3">
      <c r="A29" s="10" t="s">
        <v>6</v>
      </c>
      <c r="B29" s="2">
        <f>B28</f>
        <v>144</v>
      </c>
      <c r="C29" s="2">
        <f t="shared" ref="C29:S29" si="4">D28</f>
        <v>136.80000000000001</v>
      </c>
      <c r="D29" s="2">
        <f t="shared" si="4"/>
        <v>129.60000000000002</v>
      </c>
      <c r="E29" s="2">
        <f t="shared" si="4"/>
        <v>122.40000000000002</v>
      </c>
      <c r="F29" s="2">
        <f t="shared" si="4"/>
        <v>115.20000000000002</v>
      </c>
      <c r="G29" s="2">
        <f t="shared" si="4"/>
        <v>108.00000000000001</v>
      </c>
      <c r="H29" s="2">
        <f t="shared" si="4"/>
        <v>100.80000000000001</v>
      </c>
      <c r="I29" s="2">
        <f t="shared" si="4"/>
        <v>93.600000000000009</v>
      </c>
      <c r="J29" s="2">
        <f t="shared" si="4"/>
        <v>86.4</v>
      </c>
      <c r="K29" s="2">
        <f t="shared" si="4"/>
        <v>79.2</v>
      </c>
      <c r="L29" s="2">
        <f t="shared" si="4"/>
        <v>72</v>
      </c>
      <c r="M29" s="2">
        <f t="shared" si="4"/>
        <v>64.8</v>
      </c>
      <c r="N29" s="2">
        <f t="shared" si="4"/>
        <v>57.599999999999994</v>
      </c>
      <c r="O29" s="2">
        <f t="shared" si="4"/>
        <v>50.399999999999991</v>
      </c>
      <c r="P29" s="2">
        <f t="shared" si="4"/>
        <v>43.199999999999989</v>
      </c>
      <c r="Q29" s="2">
        <f t="shared" si="4"/>
        <v>35.999999999999986</v>
      </c>
      <c r="R29" s="2">
        <f t="shared" si="4"/>
        <v>28.799999999999986</v>
      </c>
      <c r="S29" s="2">
        <f t="shared" si="4"/>
        <v>21.599999999999987</v>
      </c>
      <c r="T29" s="2"/>
      <c r="U29" s="2"/>
      <c r="V29" s="2"/>
      <c r="W29" s="2"/>
    </row>
    <row r="30" spans="1:23" ht="14.25" customHeight="1" x14ac:dyDescent="0.3">
      <c r="A30" s="2"/>
      <c r="B30" s="11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ht="14.25" customHeight="1" x14ac:dyDescent="0.3">
      <c r="A31" s="2"/>
      <c r="B31" s="11"/>
      <c r="C31" s="2"/>
      <c r="D31" s="2"/>
      <c r="E31" s="2"/>
      <c r="F31" s="2"/>
      <c r="G31" s="11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ht="14.25" customHeight="1" x14ac:dyDescent="0.3">
      <c r="A32" s="2"/>
      <c r="B32" s="11"/>
      <c r="C32" s="2"/>
      <c r="D32" s="2"/>
      <c r="E32" s="2"/>
      <c r="F32" s="2"/>
      <c r="G32" s="11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9" ht="14.25" customHeight="1" x14ac:dyDescent="0.3">
      <c r="A33" s="2"/>
      <c r="B33" s="11"/>
      <c r="C33" s="2"/>
      <c r="D33" s="2"/>
      <c r="E33" s="2"/>
      <c r="F33" s="2"/>
      <c r="G33" s="11"/>
      <c r="H33" s="2"/>
      <c r="I33" s="2"/>
    </row>
    <row r="34" spans="1:9" ht="14.25" customHeight="1" x14ac:dyDescent="0.3">
      <c r="A34" s="2"/>
      <c r="B34" s="11"/>
      <c r="C34" s="2"/>
      <c r="D34" s="2"/>
      <c r="E34" s="2"/>
      <c r="F34" s="2"/>
      <c r="G34" s="11"/>
      <c r="H34" s="2"/>
      <c r="I34" s="2"/>
    </row>
    <row r="35" spans="1:9" ht="14.25" customHeight="1" x14ac:dyDescent="0.3">
      <c r="A35" s="2"/>
      <c r="B35" s="11"/>
      <c r="C35" s="2"/>
      <c r="D35" s="2"/>
      <c r="E35" s="2"/>
      <c r="F35" s="2"/>
      <c r="G35" s="11"/>
      <c r="H35" s="2"/>
      <c r="I35" s="2"/>
    </row>
    <row r="36" spans="1:9" ht="14.25" customHeight="1" x14ac:dyDescent="0.3">
      <c r="A36" s="2"/>
      <c r="B36" s="11"/>
      <c r="C36" s="2"/>
      <c r="D36" s="2"/>
      <c r="E36" s="2"/>
      <c r="F36" s="2"/>
      <c r="G36" s="11"/>
      <c r="H36" s="2"/>
      <c r="I36" s="2"/>
    </row>
    <row r="37" spans="1:9" ht="14.25" customHeight="1" x14ac:dyDescent="0.3">
      <c r="A37" s="2"/>
      <c r="B37" s="11"/>
      <c r="C37" s="2"/>
      <c r="D37" s="2"/>
      <c r="E37" s="2"/>
      <c r="F37" s="2"/>
      <c r="G37" s="2"/>
      <c r="H37" s="2"/>
      <c r="I37" s="2"/>
    </row>
    <row r="38" spans="1:9" ht="14.25" customHeight="1" x14ac:dyDescent="0.3">
      <c r="A38" s="2"/>
      <c r="B38" s="11"/>
      <c r="C38" s="2"/>
      <c r="D38" s="2"/>
      <c r="E38" s="2"/>
      <c r="F38" s="2"/>
      <c r="G38" s="2"/>
      <c r="H38" s="2"/>
      <c r="I38" s="2"/>
    </row>
    <row r="39" spans="1:9" ht="14.25" customHeight="1" x14ac:dyDescent="0.3">
      <c r="A39" s="2"/>
      <c r="B39" s="11"/>
      <c r="C39" s="2"/>
      <c r="D39" s="2"/>
      <c r="E39" s="2"/>
      <c r="F39" s="2"/>
      <c r="G39" s="2"/>
      <c r="H39" s="2"/>
      <c r="I39" s="2"/>
    </row>
    <row r="40" spans="1:9" ht="14.25" customHeight="1" x14ac:dyDescent="0.3"/>
    <row r="41" spans="1:9" ht="14.25" customHeight="1" x14ac:dyDescent="0.3"/>
    <row r="42" spans="1:9" ht="14.25" customHeight="1" x14ac:dyDescent="0.3"/>
    <row r="43" spans="1:9" ht="14.25" customHeight="1" x14ac:dyDescent="0.3"/>
    <row r="44" spans="1:9" ht="14.25" customHeight="1" x14ac:dyDescent="0.3"/>
    <row r="45" spans="1:9" ht="14.25" customHeight="1" x14ac:dyDescent="0.3"/>
    <row r="46" spans="1:9" ht="14.25" customHeight="1" x14ac:dyDescent="0.3"/>
    <row r="47" spans="1:9" ht="14.25" customHeight="1" x14ac:dyDescent="0.3"/>
    <row r="48" spans="1:9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4">
    <mergeCell ref="A3:A4"/>
    <mergeCell ref="B3:B4"/>
    <mergeCell ref="C3:V3"/>
    <mergeCell ref="W3:W4"/>
  </mergeCells>
  <phoneticPr fontId="5" type="noConversion"/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Ejemplo1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Rodrigo Galaz Silva</dc:creator>
  <cp:lastModifiedBy>Franco Saldia</cp:lastModifiedBy>
  <dcterms:created xsi:type="dcterms:W3CDTF">2018-02-12T12:05:26Z</dcterms:created>
  <dcterms:modified xsi:type="dcterms:W3CDTF">2025-11-17T04:40:51Z</dcterms:modified>
</cp:coreProperties>
</file>